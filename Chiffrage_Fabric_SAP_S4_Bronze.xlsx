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e6089c51b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5a1146eaabea4e32"/>
    <x:sheet xmlns:r="http://schemas.openxmlformats.org/officeDocument/2006/relationships" name="Scénario 1" sheetId="2" r:id="R8fbaeab1f0424df1"/>
    <x:sheet xmlns:r="http://schemas.openxmlformats.org/officeDocument/2006/relationships" name="Scénario 2" sheetId="3" r:id="Rad7d1aef325a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#,##0 &quot;€&quot;"/>
  </x:numFmts>
  <x:fonts count="6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7324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2"/>
      </x:patternFill>
    </x:fill>
    <x:fill>
      <x:patternFill patternType="solid">
        <x:fgColor rgb="FFCEEAD6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e43ab75234038" /><Relationship Type="http://schemas.openxmlformats.org/officeDocument/2006/relationships/theme" Target="/xl/theme/theme1.xml" Id="R2d2a54fa01e2431c" /><Relationship Type="http://schemas.openxmlformats.org/officeDocument/2006/relationships/sharedStrings" Target="/xl/sharedStrings.xml" Id="R4bd85bb614614197" /><Relationship Type="http://schemas.openxmlformats.org/officeDocument/2006/relationships/worksheet" Target="/xl/worksheets/sheet1.xml" Id="R5a1146eaabea4e32" /><Relationship Type="http://schemas.openxmlformats.org/officeDocument/2006/relationships/worksheet" Target="/xl/worksheets/sheet2.xml" Id="R8fbaeab1f0424df1" /><Relationship Type="http://schemas.openxmlformats.org/officeDocument/2006/relationships/worksheet" Target="/xl/worksheets/sheet3.xml" Id="Rad7d1aef325a46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8" customHeight="1">
      <x:c r="A1" s="3" t="str">
        <x:v>Synthèse · chiffrage Fabric vers Bronze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1" customHeight="1">
      <x:c r="A3" s="6" t="str">
        <x:v>Scénario</x:v>
      </x:c>
      <x:c r="B3" s="6" t="str">
        <x:v>Objets</x:v>
      </x:c>
      <x:c r="C3" s="6" t="str">
        <x:v>Équipe DE</x:v>
      </x:c>
      <x:c r="D3" s="6" t="str">
        <x:v>Min j.p.</x:v>
      </x:c>
      <x:c r="E3" s="6" t="str">
        <x:v>Max j.p.</x:v>
      </x:c>
      <x:c r="F3" s="6" t="str">
        <x:v>Avec provision min</x:v>
      </x:c>
      <x:c r="G3" s="6" t="str">
        <x:v>Avec provision max</x:v>
      </x:c>
    </x:row>
    <x:row r="4">
      <x:c r="A4" t="str">
        <x:v>Plateforme simple</x:v>
      </x:c>
      <x:c r="B4" t="n">
        <x:v>5</x:v>
      </x:c>
      <x:c r="C4" t="n">
        <x:v>1</x:v>
      </x:c>
      <x:c r="D4" t="n">
        <x:f>'Scénario 1'!H11</x:f>
        <x:v>32</x:v>
      </x:c>
      <x:c r="E4" t="n">
        <x:f>'Scénario 1'!I11</x:f>
        <x:v>65</x:v>
      </x:c>
      <x:c r="F4" t="n">
        <x:f>'Scénario 1'!H16</x:f>
        <x:v>36</x:v>
      </x:c>
      <x:c r="G4" t="n">
        <x:f>'Scénario 1'!I16</x:f>
        <x:v>75</x:v>
      </x:c>
    </x:row>
    <x:row r="5">
      <x:c r="A5" t="str">
        <x:v>Plateforme industrialisée</x:v>
      </x:c>
      <x:c r="B5" t="n">
        <x:v>20</x:v>
      </x:c>
      <x:c r="C5" t="n">
        <x:v>2</x:v>
      </x:c>
      <x:c r="D5" t="n">
        <x:f>'Scénario 2'!H12</x:f>
        <x:v>155</x:v>
      </x:c>
      <x:c r="E5" t="n">
        <x:f>'Scénario 2'!I12</x:f>
        <x:v>282</x:v>
      </x:c>
      <x:c r="F5" t="n">
        <x:f>'Scénario 2'!H17</x:f>
        <x:v>171</x:v>
      </x:c>
      <x:c r="G5" t="n">
        <x:f>'Scénario 2'!I17</x:f>
        <x:v>325</x:v>
      </x:c>
    </x:row>
    <x:row r="8" ht="31" customHeight="1">
      <x:c r="A8" s="6" t="str">
        <x:v>TJM à renseigner (€ / j.p.)</x:v>
      </x:c>
      <x:c r="B8" s="6" t="str">
        <x:v>Architecte</x:v>
      </x:c>
      <x:c r="C8" s="6" t="str">
        <x:v>Tech lead</x:v>
      </x:c>
      <x:c r="D8" s="6" t="str">
        <x:v>Data engineer</x:v>
      </x:c>
    </x:row>
    <x:row r="9">
      <x:c r="A9" t="str">
        <x:v>Saisir les TJM dans B9:D9</x:v>
      </x:c>
      <x:c r="B9" s="12"/>
      <x:c r="C9" s="12"/>
      <x:c r="D9" s="12"/>
    </x:row>
    <x:row r="11" ht="31" customHeight="1">
      <x:c r="A11" s="6" t="str">
        <x:v>Budget (€), hors provision</x:v>
      </x:c>
      <x:c r="B11" s="6" t="str">
        <x:v>Bas</x:v>
      </x:c>
      <x:c r="C11" s="6" t="str">
        <x:v>Haut</x:v>
      </x:c>
    </x:row>
    <x:row r="12">
      <x:c r="A12" t="str">
        <x:v>Scénario 1</x:v>
      </x:c>
      <x:c r="B12" s="13" t="str">
        <x:f>IF(COUNT($B$9:$D$9)&lt;3,"",'Scénario 1'!B11*$B$9+'Scénario 1'!D11*$C$9+'Scénario 1'!F11*$D$9)</x:f>
      </x:c>
      <x:c r="C12" s="13" t="str">
        <x:f>IF(COUNT($B$9:$D$9)&lt;3,"",'Scénario 1'!C11*$B$9+'Scénario 1'!E11*$C$9+'Scénario 1'!G11*$D$9)</x:f>
      </x:c>
    </x:row>
    <x:row r="13">
      <x:c r="A13" t="str">
        <x:v>Scénario 2</x:v>
      </x:c>
      <x:c r="B13" s="13" t="str">
        <x:f>IF(COUNT($B$9:$D$9)&lt;3,"",'Scénario 2'!B12*$B$9+'Scénario 2'!D12*$C$9+'Scénario 2'!F12*$D$9)</x:f>
      </x:c>
      <x:c r="C13" s="13" t="str">
        <x:f>IF(COUNT($B$9:$D$9)&lt;3,"",'Scénario 2'!C12*$B$9+'Scénario 2'!E12*$C$9+'Scénario 2'!G12*$D$9)</x:f>
      </x:c>
    </x:row>
    <x:row r="16">
      <x:c r="A16" t="str">
        <x:v>Hypothèses : DEV / TEST / PROD pour le scénario 2. Charges indicatives à confirmer après objet pilote.</x:v>
      </x:c>
    </x:row>
    <x:row r="17">
      <x:c r="A17" t="str">
        <x:v>Hors Silver, Gold, modèles sémantiques, coûts de capacité et éventuels développements SAP.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8" customHeight="1">
      <x:c r="A1" s="3" t="str">
        <x:v>Scénario 1 · 5 objets SAP S/4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1" customHeight="1">
      <x:c r="A3" s="6" t="str">
        <x:v>Lot</x:v>
      </x:c>
      <x:c r="B3" s="6" t="str">
        <x:v>Architecte min</x:v>
      </x:c>
      <x:c r="C3" s="6" t="str">
        <x:v>Architecte max</x:v>
      </x:c>
      <x:c r="D3" s="6" t="str">
        <x:v>Tech lead min</x:v>
      </x:c>
      <x:c r="E3" s="6" t="str">
        <x:v>Tech lead max</x:v>
      </x:c>
      <x:c r="F3" s="6" t="str">
        <x:v>DE min</x:v>
      </x:c>
      <x:c r="G3" s="6" t="str">
        <x:v>DE max</x:v>
      </x:c>
      <x:c r="H3" s="6" t="str">
        <x:v>Total min</x:v>
      </x:c>
      <x:c r="I3" s="6" t="str">
        <x:v>Total max</x:v>
      </x:c>
    </x:row>
    <x:row r="4">
      <x:c r="A4" t="str">
        <x:v>Cadrage technique</x:v>
      </x:c>
      <x:c r="B4" t="n">
        <x:v>2</x:v>
      </x:c>
      <x:c r="C4" t="n">
        <x:v>3</x:v>
      </x:c>
      <x:c r="D4" t="n">
        <x:v>1</x:v>
      </x:c>
      <x:c r="E4" t="n">
        <x:v>2</x:v>
      </x:c>
      <x:c r="F4" t="n">
        <x:v>0</x:v>
      </x:c>
      <x:c r="G4" t="n">
        <x:v>0</x:v>
      </x:c>
      <x:c r="H4" t="n">
        <x:f>B4+D4+F4</x:f>
        <x:v>3</x:v>
      </x:c>
      <x:c r="I4" t="n">
        <x:f>C4+E4+G4</x:f>
        <x:v>5</x:v>
      </x:c>
    </x:row>
    <x:row r="5">
      <x:c r="A5" t="str">
        <x:v>Technical foundation</x:v>
      </x:c>
      <x:c r="B5" t="n">
        <x:v>2</x:v>
      </x:c>
      <x:c r="C5" t="n">
        <x:v>3</x:v>
      </x:c>
      <x:c r="D5" t="n">
        <x:v>4</x:v>
      </x:c>
      <x:c r="E5" t="n">
        <x:v>7</x:v>
      </x:c>
      <x:c r="F5" t="n">
        <x:v>2</x:v>
      </x:c>
      <x:c r="G5" t="n">
        <x:v>5</x:v>
      </x:c>
      <x:c r="H5" t="n">
        <x:f>B5+D5+F5</x:f>
        <x:v>8</x:v>
      </x:c>
      <x:c r="I5" t="n">
        <x:f>C5+E5+G5</x:f>
        <x:v>15</x:v>
      </x:c>
    </x:row>
    <x:row r="6">
      <x:c r="A6" t="str">
        <x:v>Socle Bronze</x:v>
      </x:c>
      <x:c r="B6" t="n">
        <x:v>1</x:v>
      </x:c>
      <x:c r="C6" t="n">
        <x:v>1</x:v>
      </x:c>
      <x:c r="D6" t="n">
        <x:v>3</x:v>
      </x:c>
      <x:c r="E6" t="n">
        <x:v>5</x:v>
      </x:c>
      <x:c r="F6" t="n">
        <x:v>2</x:v>
      </x:c>
      <x:c r="G6" t="n">
        <x:v>4</x:v>
      </x:c>
      <x:c r="H6" t="n">
        <x:f>B6+D6+F6</x:f>
        <x:v>6</x:v>
      </x:c>
      <x:c r="I6" t="n">
        <x:f>C6+E6+G6</x:f>
        <x:v>10</x:v>
      </x:c>
    </x:row>
    <x:row r="7">
      <x:c r="A7" t="str">
        <x:v>Connexion SAP S/4</x:v>
      </x:c>
      <x:c r="B7" t="n">
        <x:v>1</x:v>
      </x:c>
      <x:c r="C7" t="n">
        <x:v>2</x:v>
      </x:c>
      <x:c r="D7" t="n">
        <x:v>2</x:v>
      </x:c>
      <x:c r="E7" t="n">
        <x:v>4</x:v>
      </x:c>
      <x:c r="F7" t="n">
        <x:v>2</x:v>
      </x:c>
      <x:c r="G7" t="n">
        <x:v>6</x:v>
      </x:c>
      <x:c r="H7" t="n">
        <x:f>B7+D7+F7</x:f>
        <x:v>5</x:v>
      </x:c>
      <x:c r="I7" t="n">
        <x:f>C7+E7+G7</x:f>
        <x:v>12</x:v>
      </x:c>
    </x:row>
    <x:row r="8">
      <x:c r="A8" t="str">
        <x:v>Premier objet SAP</x:v>
      </x:c>
      <x:c r="B8" t="n">
        <x:v>0</x:v>
      </x:c>
      <x:c r="C8" t="n">
        <x:v>0</x:v>
      </x:c>
      <x:c r="D8" t="n">
        <x:v>1</x:v>
      </x:c>
      <x:c r="E8" t="n">
        <x:v>2</x:v>
      </x:c>
      <x:c r="F8" t="n">
        <x:v>3</x:v>
      </x:c>
      <x:c r="G8" t="n">
        <x:v>5</x:v>
      </x:c>
      <x:c r="H8" t="n">
        <x:f>B8+D8+F8</x:f>
        <x:v>4</x:v>
      </x:c>
      <x:c r="I8" t="n">
        <x:f>C8+E8+G8</x:f>
        <x:v>7</x:v>
      </x:c>
    </x:row>
    <x:row r="9">
      <x:c r="A9" t="str">
        <x:v>Quatre objets suivants</x:v>
      </x:c>
      <x:c r="B9" t="n">
        <x:v>0</x:v>
      </x:c>
      <x:c r="C9" t="n">
        <x:v>0</x:v>
      </x:c>
      <x:c r="D9" t="n">
        <x:v>0</x:v>
      </x:c>
      <x:c r="E9" t="n">
        <x:v>2</x:v>
      </x:c>
      <x:c r="F9" t="n">
        <x:v>4</x:v>
      </x:c>
      <x:c r="G9" t="n">
        <x:v>10</x:v>
      </x:c>
      <x:c r="H9" t="n">
        <x:f>B9+D9+F9</x:f>
        <x:v>4</x:v>
      </x:c>
      <x:c r="I9" t="n">
        <x:f>C9+E9+G9</x:f>
        <x:v>12</x:v>
      </x:c>
    </x:row>
    <x:row r="10">
      <x:c r="A10" t="str">
        <x:v>Documentation et transfert</x:v>
      </x:c>
      <x:c r="B10" t="n">
        <x:v>0</x:v>
      </x:c>
      <x:c r="C10" t="n">
        <x:v>0</x:v>
      </x:c>
      <x:c r="D10" t="n">
        <x:v>1</x:v>
      </x:c>
      <x:c r="E10" t="n">
        <x:v>2</x:v>
      </x:c>
      <x:c r="F10" t="n">
        <x:v>1</x:v>
      </x:c>
      <x:c r="G10" t="n">
        <x:v>2</x:v>
      </x:c>
      <x:c r="H10" t="n">
        <x:f>B10+D10+F10</x:f>
        <x:v>2</x:v>
      </x:c>
      <x:c r="I10" t="n">
        <x:f>C10+E10+G10</x:f>
        <x:v>4</x:v>
      </x:c>
    </x:row>
    <x:row r="11">
      <x:c r="A11" s="8" t="str">
        <x:v>TOTAL HORS PROVISION</x:v>
      </x:c>
      <x:c r="B11" s="8" t="n">
        <x:f>SUM(B4:B10)</x:f>
        <x:v>6</x:v>
      </x:c>
      <x:c r="C11" s="8" t="n">
        <x:f>SUM(C4:C10)</x:f>
        <x:v>9</x:v>
      </x:c>
      <x:c r="D11" s="8" t="n">
        <x:f>SUM(D4:D10)</x:f>
        <x:v>12</x:v>
      </x:c>
      <x:c r="E11" s="8" t="n">
        <x:f>SUM(E4:E10)</x:f>
        <x:v>24</x:v>
      </x:c>
      <x:c r="F11" s="8" t="n">
        <x:f>SUM(F4:F10)</x:f>
        <x:v>14</x:v>
      </x:c>
      <x:c r="G11" s="8" t="n">
        <x:f>SUM(G4:G10)</x:f>
        <x:v>32</x:v>
      </x:c>
      <x:c r="H11" s="8" t="n">
        <x:f>SUM(H4:H10)</x:f>
        <x:v>32</x:v>
      </x:c>
      <x:c r="I11" s="8" t="n">
        <x:f>SUM(I4:I10)</x:f>
        <x:v>65</x:v>
      </x:c>
    </x:row>
    <x:row r="13">
      <x:c r="A13" t="str">
        <x:v>Provision basse</x:v>
      </x:c>
      <x:c r="B13" s="11" t="n">
        <x:v>0.1</x:v>
      </x:c>
    </x:row>
    <x:row r="14">
      <x:c r="A14" t="str">
        <x:v>Provision haute</x:v>
      </x:c>
      <x:c r="B14" s="11" t="n">
        <x:v>0.15</x:v>
      </x:c>
    </x:row>
    <x:row r="16">
      <x:c r="A16" s="10" t="str">
        <x:v>TOTAL AVEC PROVISION</x:v>
      </x:c>
      <x:c r="B16" s="10"/>
      <x:c r="C16" s="10"/>
      <x:c r="D16" s="10"/>
      <x:c r="E16" s="10"/>
      <x:c r="F16" s="10"/>
      <x:c r="G16" s="10"/>
      <x:c r="H16" s="10" t="n">
        <x:f>ROUNDUP(H11*(1+B13),0)</x:f>
        <x:v>36</x:v>
      </x:c>
      <x:c r="I16" s="10" t="n">
        <x:f>ROUNDUP(I11*(1+B14),0)</x:f>
        <x:v>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8" customHeight="1">
      <x:c r="A1" s="3" t="str">
        <x:v>Scénario 2 · socle industrialisé et 20 objets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1" customHeight="1">
      <x:c r="A3" s="6" t="str">
        <x:v>Lot</x:v>
      </x:c>
      <x:c r="B3" s="6" t="str">
        <x:v>Architecte min</x:v>
      </x:c>
      <x:c r="C3" s="6" t="str">
        <x:v>Architecte max</x:v>
      </x:c>
      <x:c r="D3" s="6" t="str">
        <x:v>Tech lead min</x:v>
      </x:c>
      <x:c r="E3" s="6" t="str">
        <x:v>Tech lead max</x:v>
      </x:c>
      <x:c r="F3" s="6" t="str">
        <x:v>DE min</x:v>
      </x:c>
      <x:c r="G3" s="6" t="str">
        <x:v>DE max</x:v>
      </x:c>
      <x:c r="H3" s="6" t="str">
        <x:v>Total min</x:v>
      </x:c>
      <x:c r="I3" s="6" t="str">
        <x:v>Total max</x:v>
      </x:c>
    </x:row>
    <x:row r="4">
      <x:c r="A4" t="str">
        <x:v>Cadrage et conception</x:v>
      </x:c>
      <x:c r="B4" t="n">
        <x:v>4</x:v>
      </x:c>
      <x:c r="C4" t="n">
        <x:v>6</x:v>
      </x:c>
      <x:c r="D4" t="n">
        <x:v>3</x:v>
      </x:c>
      <x:c r="E4" t="n">
        <x:v>4</x:v>
      </x:c>
      <x:c r="F4" t="n">
        <x:v>1</x:v>
      </x:c>
      <x:c r="G4" t="n">
        <x:v>2</x:v>
      </x:c>
      <x:c r="H4" t="n">
        <x:f>B4+D4+F4</x:f>
        <x:v>8</x:v>
      </x:c>
      <x:c r="I4" t="n">
        <x:f>C4+E4+G4</x:f>
        <x:v>12</x:v>
      </x:c>
    </x:row>
    <x:row r="5">
      <x:c r="A5" t="str">
        <x:v>Technical foundation</x:v>
      </x:c>
      <x:c r="B5" t="n">
        <x:v>4</x:v>
      </x:c>
      <x:c r="C5" t="n">
        <x:v>6</x:v>
      </x:c>
      <x:c r="D5" t="n">
        <x:v>6</x:v>
      </x:c>
      <x:c r="E5" t="n">
        <x:v>10</x:v>
      </x:c>
      <x:c r="F5" t="n">
        <x:v>5</x:v>
      </x:c>
      <x:c r="G5" t="n">
        <x:v>9</x:v>
      </x:c>
      <x:c r="H5" t="n">
        <x:f>B5+D5+F5</x:f>
        <x:v>15</x:v>
      </x:c>
      <x:c r="I5" t="n">
        <x:f>C5+E5+G5</x:f>
        <x:v>25</x:v>
      </x:c>
    </x:row>
    <x:row r="6">
      <x:c r="A6" t="str">
        <x:v>Framework de métadonnées</x:v>
      </x:c>
      <x:c r="B6" t="n">
        <x:v>3</x:v>
      </x:c>
      <x:c r="C6" t="n">
        <x:v>5</x:v>
      </x:c>
      <x:c r="D6" t="n">
        <x:v>6</x:v>
      </x:c>
      <x:c r="E6" t="n">
        <x:v>9</x:v>
      </x:c>
      <x:c r="F6" t="n">
        <x:v>6</x:v>
      </x:c>
      <x:c r="G6" t="n">
        <x:v>11</x:v>
      </x:c>
      <x:c r="H6" t="n">
        <x:f>B6+D6+F6</x:f>
        <x:v>15</x:v>
      </x:c>
      <x:c r="I6" t="n">
        <x:f>C6+E6+G6</x:f>
        <x:v>25</x:v>
      </x:c>
    </x:row>
    <x:row r="7">
      <x:c r="A7" t="str">
        <x:v>Moteur d’orchestration</x:v>
      </x:c>
      <x:c r="B7" t="n">
        <x:v>3</x:v>
      </x:c>
      <x:c r="C7" t="n">
        <x:v>5</x:v>
      </x:c>
      <x:c r="D7" t="n">
        <x:v>8</x:v>
      </x:c>
      <x:c r="E7" t="n">
        <x:v>12</x:v>
      </x:c>
      <x:c r="F7" t="n">
        <x:v>9</x:v>
      </x:c>
      <x:c r="G7" t="n">
        <x:v>18</x:v>
      </x:c>
      <x:c r="H7" t="n">
        <x:f>B7+D7+F7</x:f>
        <x:v>20</x:v>
      </x:c>
      <x:c r="I7" t="n">
        <x:f>C7+E7+G7</x:f>
        <x:v>35</x:v>
      </x:c>
    </x:row>
    <x:row r="8">
      <x:c r="A8" t="str">
        <x:v>Framework d’ingestion Bronze</x:v>
      </x:c>
      <x:c r="B8" t="n">
        <x:v>2</x:v>
      </x:c>
      <x:c r="C8" t="n">
        <x:v>3</x:v>
      </x:c>
      <x:c r="D8" t="n">
        <x:v>5</x:v>
      </x:c>
      <x:c r="E8" t="n">
        <x:v>8</x:v>
      </x:c>
      <x:c r="F8" t="n">
        <x:v>8</x:v>
      </x:c>
      <x:c r="G8" t="n">
        <x:v>14</x:v>
      </x:c>
      <x:c r="H8" t="n">
        <x:f>B8+D8+F8</x:f>
        <x:v>15</x:v>
      </x:c>
      <x:c r="I8" t="n">
        <x:f>C8+E8+G8</x:f>
        <x:v>25</x:v>
      </x:c>
    </x:row>
    <x:row r="9">
      <x:c r="A9" t="str">
        <x:v>Intégration SAP S/4</x:v>
      </x:c>
      <x:c r="B9" t="n">
        <x:v>1</x:v>
      </x:c>
      <x:c r="C9" t="n">
        <x:v>2</x:v>
      </x:c>
      <x:c r="D9" t="n">
        <x:v>2</x:v>
      </x:c>
      <x:c r="E9" t="n">
        <x:v>5</x:v>
      </x:c>
      <x:c r="F9" t="n">
        <x:v>7</x:v>
      </x:c>
      <x:c r="G9" t="n">
        <x:v>13</x:v>
      </x:c>
      <x:c r="H9" t="n">
        <x:f>B9+D9+F9</x:f>
        <x:v>10</x:v>
      </x:c>
      <x:c r="I9" t="n">
        <x:f>C9+E9+G9</x:f>
        <x:v>20</x:v>
      </x:c>
    </x:row>
    <x:row r="10">
      <x:c r="A10" t="str">
        <x:v>Tests et mise en exploitation</x:v>
      </x:c>
      <x:c r="B10" t="n">
        <x:v>1</x:v>
      </x:c>
      <x:c r="C10" t="n">
        <x:v>1</x:v>
      </x:c>
      <x:c r="D10" t="n">
        <x:v>2</x:v>
      </x:c>
      <x:c r="E10" t="n">
        <x:v>4</x:v>
      </x:c>
      <x:c r="F10" t="n">
        <x:v>9</x:v>
      </x:c>
      <x:c r="G10" t="n">
        <x:v>15</x:v>
      </x:c>
      <x:c r="H10" t="n">
        <x:f>B10+D10+F10</x:f>
        <x:v>12</x:v>
      </x:c>
      <x:c r="I10" t="n">
        <x:f>C10+E10+G10</x:f>
        <x:v>20</x:v>
      </x:c>
    </x:row>
    <x:row r="11">
      <x:c r="A11" t="str">
        <x:v>20 objets standards</x:v>
      </x:c>
      <x:c r="B11" t="n">
        <x:v>0</x:v>
      </x:c>
      <x:c r="C11" t="n">
        <x:v>0</x:v>
      </x:c>
      <x:c r="D11" t="n">
        <x:v>10</x:v>
      </x:c>
      <x:c r="E11" t="n">
        <x:v>20</x:v>
      </x:c>
      <x:c r="F11" t="n">
        <x:v>50</x:v>
      </x:c>
      <x:c r="G11" t="n">
        <x:v>100</x:v>
      </x:c>
      <x:c r="H11" t="n">
        <x:f>B11+D11+F11</x:f>
        <x:v>60</x:v>
      </x:c>
      <x:c r="I11" t="n">
        <x:f>C11+E11+G11</x:f>
        <x:v>120</x:v>
      </x:c>
    </x:row>
    <x:row r="12">
      <x:c r="A12" s="8" t="str">
        <x:v>TOTAL HORS PROVISION</x:v>
      </x:c>
      <x:c r="B12" s="8" t="n">
        <x:f>SUM(B4:B11)</x:f>
        <x:v>18</x:v>
      </x:c>
      <x:c r="C12" s="8" t="n">
        <x:f>SUM(C4:C11)</x:f>
        <x:v>28</x:v>
      </x:c>
      <x:c r="D12" s="8" t="n">
        <x:f>SUM(D4:D11)</x:f>
        <x:v>42</x:v>
      </x:c>
      <x:c r="E12" s="8" t="n">
        <x:f>SUM(E4:E11)</x:f>
        <x:v>72</x:v>
      </x:c>
      <x:c r="F12" s="8" t="n">
        <x:f>SUM(F4:F11)</x:f>
        <x:v>95</x:v>
      </x:c>
      <x:c r="G12" s="8" t="n">
        <x:f>SUM(G4:G11)</x:f>
        <x:v>182</x:v>
      </x:c>
      <x:c r="H12" s="8" t="n">
        <x:f>SUM(H4:H11)</x:f>
        <x:v>155</x:v>
      </x:c>
      <x:c r="I12" s="8" t="n">
        <x:f>SUM(I4:I11)</x:f>
        <x:v>282</x:v>
      </x:c>
    </x:row>
    <x:row r="14">
      <x:c r="A14" t="str">
        <x:v>Provision basse</x:v>
      </x:c>
      <x:c r="B14" s="11" t="n">
        <x:v>0.1</x:v>
      </x:c>
    </x:row>
    <x:row r="15">
      <x:c r="A15" t="str">
        <x:v>Provision haute</x:v>
      </x:c>
      <x:c r="B15" s="11" t="n">
        <x:v>0.15</x:v>
      </x:c>
    </x:row>
    <x:row r="17">
      <x:c r="A17" s="10" t="str">
        <x:v>TOTAL AVEC PROVISION</x:v>
      </x:c>
      <x:c r="B17" s="10"/>
      <x:c r="C17" s="10"/>
      <x:c r="D17" s="10"/>
      <x:c r="E17" s="10"/>
      <x:c r="F17" s="10"/>
      <x:c r="G17" s="10"/>
      <x:c r="H17" s="10" t="n">
        <x:f>ROUNDUP(H12*(1+B14),0)</x:f>
        <x:v>171</x:v>
      </x:c>
      <x:c r="I17" s="10" t="n">
        <x:f>ROUNDUP(I12*(1+B15),0)</x:f>
        <x:v>325</x:v>
      </x:c>
    </x:row>
    <x:row r="20" ht="31" customHeight="1">
      <x:c r="A20" s="6" t="str">
        <x:v>Détail des data engineers</x:v>
      </x:c>
      <x:c r="B20" s="6" t="str">
        <x:v>Socle min</x:v>
      </x:c>
      <x:c r="C20" s="6" t="str">
        <x:v>Socle max</x:v>
      </x:c>
      <x:c r="D20" s="6" t="str">
        <x:v>Objets min</x:v>
      </x:c>
      <x:c r="E20" s="6" t="str">
        <x:v>Objets max</x:v>
      </x:c>
      <x:c r="F20" s="6" t="str">
        <x:v>Total min</x:v>
      </x:c>
      <x:c r="G20" s="6" t="str">
        <x:v>Total max</x:v>
      </x:c>
    </x:row>
    <x:row r="21">
      <x:c r="A21" t="str">
        <x:v>Data engineer 1</x:v>
      </x:c>
      <x:c r="B21" t="n">
        <x:v>25</x:v>
      </x:c>
      <x:c r="C21" t="n">
        <x:v>45</x:v>
      </x:c>
      <x:c r="D21" t="n">
        <x:v>25</x:v>
      </x:c>
      <x:c r="E21" t="n">
        <x:v>50</x:v>
      </x:c>
      <x:c r="F21" t="n">
        <x:f>B21+D21</x:f>
        <x:v>50</x:v>
      </x:c>
      <x:c r="G21" t="n">
        <x:f>C21+E21</x:f>
        <x:v>95</x:v>
      </x:c>
    </x:row>
    <x:row r="22">
      <x:c r="A22" t="str">
        <x:v>Data engineer 2</x:v>
      </x:c>
      <x:c r="B22" t="n">
        <x:v>20</x:v>
      </x:c>
      <x:c r="C22" t="n">
        <x:v>37</x:v>
      </x:c>
      <x:c r="D22" t="n">
        <x:v>25</x:v>
      </x:c>
      <x:c r="E22" t="n">
        <x:v>50</x:v>
      </x:c>
      <x:c r="F22" t="n">
        <x:f>B22+D22</x:f>
        <x:v>45</x:v>
      </x:c>
      <x:c r="G22" t="n">
        <x:f>C22+E22</x:f>
        <x:v>87</x:v>
      </x:c>
    </x:row>
  </x:sheetData>
  <x:pageMargins left="0.7" right="0.7" top="0.75" bottom="0.75" header="0.3" footer="0.3"/>
</x:worksheet>
</file>